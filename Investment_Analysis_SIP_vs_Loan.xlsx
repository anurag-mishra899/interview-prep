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Comparison" sheetId="1" state="visible" r:id="rId1"/>
    <sheet name="SIP Year-by-Year" sheetId="2" state="visible" r:id="rId2"/>
    <sheet name="Loan+Lumpsum Year-by-Year" sheetId="3" state="visible" r:id="rId3"/>
    <sheet name="Formulas &amp;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0&quot;%&quot;"/>
    <numFmt numFmtId="166" formatCode="₹#,##0.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4"/>
    </font>
    <font>
      <b val="1"/>
      <color rgb="00006100"/>
    </font>
    <font>
      <b val="1"/>
      <color rgb="00C65911"/>
    </font>
    <font>
      <b val="1"/>
      <color rgb="00FFFFFF"/>
    </font>
    <font>
      <b val="1"/>
      <sz val="12"/>
    </font>
    <font>
      <b val="1"/>
      <color rgb="0000B050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C65911"/>
        <bgColor rgb="00C65911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164" fontId="4" fillId="0" borderId="0" pivotButton="0" quotePrefix="0" xfId="0"/>
    <xf numFmtId="0" fontId="2" fillId="2" borderId="0" pivotButton="0" quotePrefix="0" xfId="0"/>
    <xf numFmtId="0" fontId="5" fillId="3" borderId="0" applyAlignment="1" pivotButton="0" quotePrefix="0" xfId="0">
      <alignment horizontal="center"/>
    </xf>
    <xf numFmtId="0" fontId="2" fillId="5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25" customWidth="1" min="4" max="4"/>
    <col width="18" customWidth="1" min="5" max="5"/>
    <col width="15" customWidth="1" min="6" max="6"/>
  </cols>
  <sheetData>
    <row r="1">
      <c r="A1" s="1" t="inlineStr">
        <is>
          <t>INVESTMENT ANALYSIS: SIP vs LOAN + LUMPSUM</t>
        </is>
      </c>
    </row>
    <row r="3">
      <c r="A3" s="2" t="inlineStr">
        <is>
          <t>SCENARIO 1: MONTHLY SIP</t>
        </is>
      </c>
      <c r="D3" s="3" t="inlineStr">
        <is>
          <t>SCENARIO 2: LOAN + LUMPSUM</t>
        </is>
      </c>
    </row>
    <row r="4">
      <c r="A4" t="inlineStr">
        <is>
          <t>Monthly SIP Amount</t>
        </is>
      </c>
      <c r="B4" s="4" t="n">
        <v>40000</v>
      </c>
      <c r="D4" t="inlineStr">
        <is>
          <t>Loan Amount</t>
        </is>
      </c>
      <c r="E4" s="4" t="n">
        <v>2500000</v>
      </c>
    </row>
    <row r="5">
      <c r="A5" t="inlineStr">
        <is>
          <t>Annual Interest Rate</t>
        </is>
      </c>
      <c r="B5" s="5" t="n">
        <v>0.12</v>
      </c>
      <c r="D5" t="inlineStr">
        <is>
          <t>Loan Interest (Annual)</t>
        </is>
      </c>
      <c r="E5" s="5" t="n">
        <v>0.1</v>
      </c>
    </row>
    <row r="6">
      <c r="A6" t="inlineStr">
        <is>
          <t>Investment Period (Years)</t>
        </is>
      </c>
      <c r="B6" t="n">
        <v>35</v>
      </c>
      <c r="D6" t="inlineStr">
        <is>
          <t>Loan Tenure (Years)</t>
        </is>
      </c>
      <c r="E6" t="n">
        <v>6</v>
      </c>
    </row>
    <row r="7">
      <c r="A7" t="inlineStr">
        <is>
          <t>Total Investment</t>
        </is>
      </c>
      <c r="B7" s="4">
        <f>B4*12*B6</f>
        <v/>
      </c>
      <c r="D7" t="inlineStr">
        <is>
          <t>Monthly EMI</t>
        </is>
      </c>
      <c r="E7" s="6">
        <f>E4*(E5/12)*(1+E5/12)^(E6*12)/((1+E5/12)^(E6*12)-1)</f>
        <v/>
      </c>
    </row>
    <row r="8">
      <c r="A8" t="inlineStr">
        <is>
          <t>Future Value</t>
        </is>
      </c>
      <c r="B8" s="7">
        <f>B4*((((1+B5/12)^(B6*12)-1)/(B5/12))*(1+B5/12))</f>
        <v/>
      </c>
      <c r="D8" t="inlineStr">
        <is>
          <t>Total EMI Paid (6 years)</t>
        </is>
      </c>
      <c r="E8" s="4">
        <f>E7*E6*12</f>
        <v/>
      </c>
    </row>
    <row r="9">
      <c r="A9" t="inlineStr">
        <is>
          <t>Net Gain</t>
        </is>
      </c>
      <c r="B9" s="4">
        <f>B9-B7</f>
        <v/>
      </c>
      <c r="D9" t="inlineStr">
        <is>
          <t>Investment Rate (Annual)</t>
        </is>
      </c>
      <c r="E9" s="5" t="n">
        <v>0.12</v>
      </c>
    </row>
    <row r="10">
      <c r="A10" t="inlineStr">
        <is>
          <t>ROI %</t>
        </is>
      </c>
      <c r="B10" s="8">
        <f>(B10/B7)*100</f>
        <v/>
      </c>
      <c r="D10" t="inlineStr">
        <is>
          <t>Investment Period (Years)</t>
        </is>
      </c>
      <c r="E10" t="n">
        <v>35</v>
      </c>
    </row>
    <row r="11">
      <c r="D11" t="inlineStr">
        <is>
          <t>Future Value</t>
        </is>
      </c>
      <c r="E11" s="9">
        <f>E4*(1+E9)^E10</f>
        <v/>
      </c>
    </row>
    <row r="12">
      <c r="D12" t="inlineStr">
        <is>
          <t>Net Gain (after loan)</t>
        </is>
      </c>
      <c r="E12" s="4">
        <f>E11-E8</f>
        <v/>
      </c>
    </row>
    <row r="13">
      <c r="D13" t="inlineStr">
        <is>
          <t>ROI %</t>
        </is>
      </c>
      <c r="E13" s="8">
        <f>(E12/E8)*100</f>
        <v/>
      </c>
    </row>
    <row r="15">
      <c r="A15" s="10" t="inlineStr">
        <is>
          <t>COMPARATIVE ANALYSIS</t>
        </is>
      </c>
    </row>
    <row r="16">
      <c r="A16" s="11" t="inlineStr">
        <is>
          <t>Metric</t>
        </is>
      </c>
      <c r="B16" s="11" t="inlineStr">
        <is>
          <t>Scenario 1 (SIP)</t>
        </is>
      </c>
      <c r="C16" s="11" t="inlineStr">
        <is>
          <t>Scenario 2 (Loan)</t>
        </is>
      </c>
      <c r="D16" s="11" t="inlineStr">
        <is>
          <t>Difference</t>
        </is>
      </c>
      <c r="E16" s="11" t="inlineStr">
        <is>
          <t>Winner</t>
        </is>
      </c>
    </row>
    <row r="17">
      <c r="A17" t="inlineStr">
        <is>
          <t>Total Cash Outflow</t>
        </is>
      </c>
      <c r="B17" s="4">
        <f>B7</f>
        <v/>
      </c>
      <c r="C17" s="4">
        <f>E8</f>
        <v/>
      </c>
      <c r="D17" s="4">
        <f>B17-C17</f>
        <v/>
      </c>
      <c r="E17">
        <f>IF(C17&lt;B17,"Scenario 2","Scenario 1")</f>
        <v/>
      </c>
    </row>
    <row r="18">
      <c r="A18" t="inlineStr">
        <is>
          <t>Future Value</t>
        </is>
      </c>
      <c r="B18" s="4">
        <f>B9</f>
        <v/>
      </c>
      <c r="C18" s="4">
        <f>E11</f>
        <v/>
      </c>
      <c r="D18" s="4">
        <f>B18-C18</f>
        <v/>
      </c>
      <c r="E18">
        <f>IF(B18&gt;C18,"Scenario 1","Scenario 2")</f>
        <v/>
      </c>
    </row>
    <row r="19">
      <c r="A19" t="inlineStr">
        <is>
          <t>Net Gain</t>
        </is>
      </c>
      <c r="B19" s="4">
        <f>B10</f>
        <v/>
      </c>
      <c r="C19" s="4">
        <f>E12</f>
        <v/>
      </c>
      <c r="D19" s="4">
        <f>B19-C19</f>
        <v/>
      </c>
      <c r="E19">
        <f>IF(B19&gt;C19,"Scenario 1","Scenario 2")</f>
        <v/>
      </c>
    </row>
    <row r="20">
      <c r="A20" t="inlineStr">
        <is>
          <t>ROI %</t>
        </is>
      </c>
      <c r="B20" s="8">
        <f>B11</f>
        <v/>
      </c>
      <c r="C20" s="8">
        <f>E13</f>
        <v/>
      </c>
      <c r="D20" s="8">
        <f>B20-C20</f>
        <v/>
      </c>
      <c r="E20">
        <f>IF(B20&gt;C20,"Scenario 1","Scenario 2")</f>
        <v/>
      </c>
    </row>
    <row r="22">
      <c r="A22" s="12" t="inlineStr">
        <is>
          <t>FINAL VERDICT</t>
        </is>
      </c>
    </row>
    <row r="23">
      <c r="A23" s="13" t="inlineStr">
        <is>
          <t>WINNER:</t>
        </is>
      </c>
      <c r="B23" s="14" t="inlineStr">
        <is>
          <t>SCENARIO 1 - MONTHLY SIP</t>
        </is>
      </c>
    </row>
    <row r="24">
      <c r="A24" t="inlineStr">
        <is>
          <t>Reason:</t>
        </is>
      </c>
      <c r="B24" t="inlineStr">
        <is>
          <t>SIP delivers significantly higher returns with lower risk, lower monthly commitment, and benefits from rupee cost averaging</t>
        </is>
      </c>
    </row>
  </sheetData>
  <mergeCells count="7">
    <mergeCell ref="B24:F24"/>
    <mergeCell ref="A1:F1"/>
    <mergeCell ref="D3:F3"/>
    <mergeCell ref="A3:C3"/>
    <mergeCell ref="A22:F22"/>
    <mergeCell ref="B23:F23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>
      <c r="A1" s="2" t="inlineStr">
        <is>
          <t>SCENARIO 1: SIP YEAR-BY-YEAR BREAKDOWN</t>
        </is>
      </c>
    </row>
    <row r="2">
      <c r="A2" s="11" t="inlineStr">
        <is>
          <t>Year</t>
        </is>
      </c>
      <c r="B2" s="11" t="inlineStr">
        <is>
          <t>Total Invested</t>
        </is>
      </c>
      <c r="C2" s="11" t="inlineStr">
        <is>
          <t>Future Value</t>
        </is>
      </c>
      <c r="D2" s="11" t="inlineStr">
        <is>
          <t>Gain</t>
        </is>
      </c>
      <c r="E2" s="11" t="inlineStr">
        <is>
          <t>ROI %</t>
        </is>
      </c>
    </row>
    <row r="3">
      <c r="A3" t="n">
        <v>1</v>
      </c>
      <c r="B3" s="4" t="n">
        <v>480000</v>
      </c>
      <c r="C3" s="4">
        <f>40000*((((1+0.01)^12-1)/0.01)*(1+0.01))</f>
        <v/>
      </c>
      <c r="D3" s="4">
        <f>C3-B3</f>
        <v/>
      </c>
      <c r="E3" s="8">
        <f>(D3/B3)*100</f>
        <v/>
      </c>
    </row>
    <row r="4">
      <c r="A4" t="n">
        <v>2</v>
      </c>
      <c r="B4" s="4" t="n">
        <v>960000</v>
      </c>
      <c r="C4" s="4">
        <f>40000*((((1+0.01)^24-1)/0.01)*(1+0.01))</f>
        <v/>
      </c>
      <c r="D4" s="4">
        <f>C4-B4</f>
        <v/>
      </c>
      <c r="E4" s="8">
        <f>(D4/B4)*100</f>
        <v/>
      </c>
    </row>
    <row r="5">
      <c r="A5" t="n">
        <v>3</v>
      </c>
      <c r="B5" s="4" t="n">
        <v>1440000</v>
      </c>
      <c r="C5" s="4">
        <f>40000*((((1+0.01)^36-1)/0.01)*(1+0.01))</f>
        <v/>
      </c>
      <c r="D5" s="4">
        <f>C5-B5</f>
        <v/>
      </c>
      <c r="E5" s="8">
        <f>(D5/B5)*100</f>
        <v/>
      </c>
    </row>
    <row r="6">
      <c r="A6" t="n">
        <v>4</v>
      </c>
      <c r="B6" s="4" t="n">
        <v>1920000</v>
      </c>
      <c r="C6" s="4">
        <f>40000*((((1+0.01)^48-1)/0.01)*(1+0.01))</f>
        <v/>
      </c>
      <c r="D6" s="4">
        <f>C6-B6</f>
        <v/>
      </c>
      <c r="E6" s="8">
        <f>(D6/B6)*100</f>
        <v/>
      </c>
    </row>
    <row r="7">
      <c r="A7" t="n">
        <v>5</v>
      </c>
      <c r="B7" s="4" t="n">
        <v>2400000</v>
      </c>
      <c r="C7" s="4">
        <f>40000*((((1+0.01)^60-1)/0.01)*(1+0.01))</f>
        <v/>
      </c>
      <c r="D7" s="4">
        <f>C7-B7</f>
        <v/>
      </c>
      <c r="E7" s="8">
        <f>(D7/B7)*100</f>
        <v/>
      </c>
    </row>
    <row r="8">
      <c r="A8" t="n">
        <v>6</v>
      </c>
      <c r="B8" s="4" t="n">
        <v>2880000</v>
      </c>
      <c r="C8" s="4">
        <f>40000*((((1+0.01)^72-1)/0.01)*(1+0.01))</f>
        <v/>
      </c>
      <c r="D8" s="4">
        <f>C8-B8</f>
        <v/>
      </c>
      <c r="E8" s="8">
        <f>(D8/B8)*100</f>
        <v/>
      </c>
    </row>
    <row r="9">
      <c r="A9" t="n">
        <v>7</v>
      </c>
      <c r="B9" s="4" t="n">
        <v>3360000</v>
      </c>
      <c r="C9" s="4">
        <f>40000*((((1+0.01)^84-1)/0.01)*(1+0.01))</f>
        <v/>
      </c>
      <c r="D9" s="4">
        <f>C9-B9</f>
        <v/>
      </c>
      <c r="E9" s="8">
        <f>(D9/B9)*100</f>
        <v/>
      </c>
    </row>
    <row r="10">
      <c r="A10" t="n">
        <v>8</v>
      </c>
      <c r="B10" s="4" t="n">
        <v>3840000</v>
      </c>
      <c r="C10" s="4">
        <f>40000*((((1+0.01)^96-1)/0.01)*(1+0.01))</f>
        <v/>
      </c>
      <c r="D10" s="4">
        <f>C10-B10</f>
        <v/>
      </c>
      <c r="E10" s="8">
        <f>(D10/B10)*100</f>
        <v/>
      </c>
    </row>
    <row r="11">
      <c r="A11" t="n">
        <v>9</v>
      </c>
      <c r="B11" s="4" t="n">
        <v>4320000</v>
      </c>
      <c r="C11" s="4">
        <f>40000*((((1+0.01)^108-1)/0.01)*(1+0.01))</f>
        <v/>
      </c>
      <c r="D11" s="4">
        <f>C11-B11</f>
        <v/>
      </c>
      <c r="E11" s="8">
        <f>(D11/B11)*100</f>
        <v/>
      </c>
    </row>
    <row r="12">
      <c r="A12" t="n">
        <v>10</v>
      </c>
      <c r="B12" s="4" t="n">
        <v>4800000</v>
      </c>
      <c r="C12" s="4">
        <f>40000*((((1+0.01)^120-1)/0.01)*(1+0.01))</f>
        <v/>
      </c>
      <c r="D12" s="4">
        <f>C12-B12</f>
        <v/>
      </c>
      <c r="E12" s="8">
        <f>(D12/B12)*100</f>
        <v/>
      </c>
    </row>
    <row r="13">
      <c r="A13" t="n">
        <v>11</v>
      </c>
      <c r="B13" s="4" t="n">
        <v>5280000</v>
      </c>
      <c r="C13" s="4">
        <f>40000*((((1+0.01)^132-1)/0.01)*(1+0.01))</f>
        <v/>
      </c>
      <c r="D13" s="4">
        <f>C13-B13</f>
        <v/>
      </c>
      <c r="E13" s="8">
        <f>(D13/B13)*100</f>
        <v/>
      </c>
    </row>
    <row r="14">
      <c r="A14" t="n">
        <v>12</v>
      </c>
      <c r="B14" s="4" t="n">
        <v>5760000</v>
      </c>
      <c r="C14" s="4">
        <f>40000*((((1+0.01)^144-1)/0.01)*(1+0.01))</f>
        <v/>
      </c>
      <c r="D14" s="4">
        <f>C14-B14</f>
        <v/>
      </c>
      <c r="E14" s="8">
        <f>(D14/B14)*100</f>
        <v/>
      </c>
    </row>
    <row r="15">
      <c r="A15" t="n">
        <v>13</v>
      </c>
      <c r="B15" s="4" t="n">
        <v>6240000</v>
      </c>
      <c r="C15" s="4">
        <f>40000*((((1+0.01)^156-1)/0.01)*(1+0.01))</f>
        <v/>
      </c>
      <c r="D15" s="4">
        <f>C15-B15</f>
        <v/>
      </c>
      <c r="E15" s="8">
        <f>(D15/B15)*100</f>
        <v/>
      </c>
    </row>
    <row r="16">
      <c r="A16" t="n">
        <v>14</v>
      </c>
      <c r="B16" s="4" t="n">
        <v>6720000</v>
      </c>
      <c r="C16" s="4">
        <f>40000*((((1+0.01)^168-1)/0.01)*(1+0.01))</f>
        <v/>
      </c>
      <c r="D16" s="4">
        <f>C16-B16</f>
        <v/>
      </c>
      <c r="E16" s="8">
        <f>(D16/B16)*100</f>
        <v/>
      </c>
    </row>
    <row r="17">
      <c r="A17" t="n">
        <v>15</v>
      </c>
      <c r="B17" s="4" t="n">
        <v>7200000</v>
      </c>
      <c r="C17" s="4">
        <f>40000*((((1+0.01)^180-1)/0.01)*(1+0.01))</f>
        <v/>
      </c>
      <c r="D17" s="4">
        <f>C17-B17</f>
        <v/>
      </c>
      <c r="E17" s="8">
        <f>(D17/B17)*100</f>
        <v/>
      </c>
    </row>
    <row r="18">
      <c r="A18" t="n">
        <v>16</v>
      </c>
      <c r="B18" s="4" t="n">
        <v>7680000</v>
      </c>
      <c r="C18" s="4">
        <f>40000*((((1+0.01)^192-1)/0.01)*(1+0.01))</f>
        <v/>
      </c>
      <c r="D18" s="4">
        <f>C18-B18</f>
        <v/>
      </c>
      <c r="E18" s="8">
        <f>(D18/B18)*100</f>
        <v/>
      </c>
    </row>
    <row r="19">
      <c r="A19" t="n">
        <v>17</v>
      </c>
      <c r="B19" s="4" t="n">
        <v>8160000</v>
      </c>
      <c r="C19" s="4">
        <f>40000*((((1+0.01)^204-1)/0.01)*(1+0.01))</f>
        <v/>
      </c>
      <c r="D19" s="4">
        <f>C19-B19</f>
        <v/>
      </c>
      <c r="E19" s="8">
        <f>(D19/B19)*100</f>
        <v/>
      </c>
    </row>
    <row r="20">
      <c r="A20" t="n">
        <v>18</v>
      </c>
      <c r="B20" s="4" t="n">
        <v>8640000</v>
      </c>
      <c r="C20" s="4">
        <f>40000*((((1+0.01)^216-1)/0.01)*(1+0.01))</f>
        <v/>
      </c>
      <c r="D20" s="4">
        <f>C20-B20</f>
        <v/>
      </c>
      <c r="E20" s="8">
        <f>(D20/B20)*100</f>
        <v/>
      </c>
    </row>
    <row r="21">
      <c r="A21" t="n">
        <v>19</v>
      </c>
      <c r="B21" s="4" t="n">
        <v>9120000</v>
      </c>
      <c r="C21" s="4">
        <f>40000*((((1+0.01)^228-1)/0.01)*(1+0.01))</f>
        <v/>
      </c>
      <c r="D21" s="4">
        <f>C21-B21</f>
        <v/>
      </c>
      <c r="E21" s="8">
        <f>(D21/B21)*100</f>
        <v/>
      </c>
    </row>
    <row r="22">
      <c r="A22" t="n">
        <v>20</v>
      </c>
      <c r="B22" s="4" t="n">
        <v>9600000</v>
      </c>
      <c r="C22" s="4">
        <f>40000*((((1+0.01)^240-1)/0.01)*(1+0.01))</f>
        <v/>
      </c>
      <c r="D22" s="4">
        <f>C22-B22</f>
        <v/>
      </c>
      <c r="E22" s="8">
        <f>(D22/B22)*100</f>
        <v/>
      </c>
    </row>
    <row r="23">
      <c r="A23" t="n">
        <v>21</v>
      </c>
      <c r="B23" s="4" t="n">
        <v>10080000</v>
      </c>
      <c r="C23" s="4">
        <f>40000*((((1+0.01)^252-1)/0.01)*(1+0.01))</f>
        <v/>
      </c>
      <c r="D23" s="4">
        <f>C23-B23</f>
        <v/>
      </c>
      <c r="E23" s="8">
        <f>(D23/B23)*100</f>
        <v/>
      </c>
    </row>
    <row r="24">
      <c r="A24" t="n">
        <v>22</v>
      </c>
      <c r="B24" s="4" t="n">
        <v>10560000</v>
      </c>
      <c r="C24" s="4">
        <f>40000*((((1+0.01)^264-1)/0.01)*(1+0.01))</f>
        <v/>
      </c>
      <c r="D24" s="4">
        <f>C24-B24</f>
        <v/>
      </c>
      <c r="E24" s="8">
        <f>(D24/B24)*100</f>
        <v/>
      </c>
    </row>
    <row r="25">
      <c r="A25" t="n">
        <v>23</v>
      </c>
      <c r="B25" s="4" t="n">
        <v>11040000</v>
      </c>
      <c r="C25" s="4">
        <f>40000*((((1+0.01)^276-1)/0.01)*(1+0.01))</f>
        <v/>
      </c>
      <c r="D25" s="4">
        <f>C25-B25</f>
        <v/>
      </c>
      <c r="E25" s="8">
        <f>(D25/B25)*100</f>
        <v/>
      </c>
    </row>
    <row r="26">
      <c r="A26" t="n">
        <v>24</v>
      </c>
      <c r="B26" s="4" t="n">
        <v>11520000</v>
      </c>
      <c r="C26" s="4">
        <f>40000*((((1+0.01)^288-1)/0.01)*(1+0.01))</f>
        <v/>
      </c>
      <c r="D26" s="4">
        <f>C26-B26</f>
        <v/>
      </c>
      <c r="E26" s="8">
        <f>(D26/B26)*100</f>
        <v/>
      </c>
    </row>
    <row r="27">
      <c r="A27" t="n">
        <v>25</v>
      </c>
      <c r="B27" s="4" t="n">
        <v>12000000</v>
      </c>
      <c r="C27" s="4">
        <f>40000*((((1+0.01)^300-1)/0.01)*(1+0.01))</f>
        <v/>
      </c>
      <c r="D27" s="4">
        <f>C27-B27</f>
        <v/>
      </c>
      <c r="E27" s="8">
        <f>(D27/B27)*100</f>
        <v/>
      </c>
    </row>
    <row r="28">
      <c r="A28" t="n">
        <v>26</v>
      </c>
      <c r="B28" s="4" t="n">
        <v>12480000</v>
      </c>
      <c r="C28" s="4">
        <f>40000*((((1+0.01)^312-1)/0.01)*(1+0.01))</f>
        <v/>
      </c>
      <c r="D28" s="4">
        <f>C28-B28</f>
        <v/>
      </c>
      <c r="E28" s="8">
        <f>(D28/B28)*100</f>
        <v/>
      </c>
    </row>
    <row r="29">
      <c r="A29" t="n">
        <v>27</v>
      </c>
      <c r="B29" s="4" t="n">
        <v>12960000</v>
      </c>
      <c r="C29" s="4">
        <f>40000*((((1+0.01)^324-1)/0.01)*(1+0.01))</f>
        <v/>
      </c>
      <c r="D29" s="4">
        <f>C29-B29</f>
        <v/>
      </c>
      <c r="E29" s="8">
        <f>(D29/B29)*100</f>
        <v/>
      </c>
    </row>
    <row r="30">
      <c r="A30" t="n">
        <v>28</v>
      </c>
      <c r="B30" s="4" t="n">
        <v>13440000</v>
      </c>
      <c r="C30" s="4">
        <f>40000*((((1+0.01)^336-1)/0.01)*(1+0.01))</f>
        <v/>
      </c>
      <c r="D30" s="4">
        <f>C30-B30</f>
        <v/>
      </c>
      <c r="E30" s="8">
        <f>(D30/B30)*100</f>
        <v/>
      </c>
    </row>
    <row r="31">
      <c r="A31" t="n">
        <v>29</v>
      </c>
      <c r="B31" s="4" t="n">
        <v>13920000</v>
      </c>
      <c r="C31" s="4">
        <f>40000*((((1+0.01)^348-1)/0.01)*(1+0.01))</f>
        <v/>
      </c>
      <c r="D31" s="4">
        <f>C31-B31</f>
        <v/>
      </c>
      <c r="E31" s="8">
        <f>(D31/B31)*100</f>
        <v/>
      </c>
    </row>
    <row r="32">
      <c r="A32" t="n">
        <v>30</v>
      </c>
      <c r="B32" s="4" t="n">
        <v>14400000</v>
      </c>
      <c r="C32" s="4">
        <f>40000*((((1+0.01)^360-1)/0.01)*(1+0.01))</f>
        <v/>
      </c>
      <c r="D32" s="4">
        <f>C32-B32</f>
        <v/>
      </c>
      <c r="E32" s="8">
        <f>(D32/B32)*100</f>
        <v/>
      </c>
    </row>
    <row r="33">
      <c r="A33" t="n">
        <v>31</v>
      </c>
      <c r="B33" s="4" t="n">
        <v>14880000</v>
      </c>
      <c r="C33" s="4">
        <f>40000*((((1+0.01)^372-1)/0.01)*(1+0.01))</f>
        <v/>
      </c>
      <c r="D33" s="4">
        <f>C33-B33</f>
        <v/>
      </c>
      <c r="E33" s="8">
        <f>(D33/B33)*100</f>
        <v/>
      </c>
    </row>
    <row r="34">
      <c r="A34" t="n">
        <v>32</v>
      </c>
      <c r="B34" s="4" t="n">
        <v>15360000</v>
      </c>
      <c r="C34" s="4">
        <f>40000*((((1+0.01)^384-1)/0.01)*(1+0.01))</f>
        <v/>
      </c>
      <c r="D34" s="4">
        <f>C34-B34</f>
        <v/>
      </c>
      <c r="E34" s="8">
        <f>(D34/B34)*100</f>
        <v/>
      </c>
    </row>
    <row r="35">
      <c r="A35" t="n">
        <v>33</v>
      </c>
      <c r="B35" s="4" t="n">
        <v>15840000</v>
      </c>
      <c r="C35" s="4">
        <f>40000*((((1+0.01)^396-1)/0.01)*(1+0.01))</f>
        <v/>
      </c>
      <c r="D35" s="4">
        <f>C35-B35</f>
        <v/>
      </c>
      <c r="E35" s="8">
        <f>(D35/B35)*100</f>
        <v/>
      </c>
    </row>
    <row r="36">
      <c r="A36" t="n">
        <v>34</v>
      </c>
      <c r="B36" s="4" t="n">
        <v>16320000</v>
      </c>
      <c r="C36" s="4">
        <f>40000*((((1+0.01)^408-1)/0.01)*(1+0.01))</f>
        <v/>
      </c>
      <c r="D36" s="4">
        <f>C36-B36</f>
        <v/>
      </c>
      <c r="E36" s="8">
        <f>(D36/B36)*100</f>
        <v/>
      </c>
    </row>
    <row r="37">
      <c r="A37" t="n">
        <v>35</v>
      </c>
      <c r="B37" s="4" t="n">
        <v>16800000</v>
      </c>
      <c r="C37" s="4">
        <f>40000*((((1+0.01)^420-1)/0.01)*(1+0.01))</f>
        <v/>
      </c>
      <c r="D37" s="4">
        <f>C37-B37</f>
        <v/>
      </c>
      <c r="E37" s="8">
        <f>(D37/B37)*100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SCENARIO 2: LOAN + LUMPSUM YEAR-BY-YEAR BREAKDOWN</t>
        </is>
      </c>
    </row>
    <row r="2">
      <c r="A2" s="15" t="inlineStr">
        <is>
          <t>Year</t>
        </is>
      </c>
      <c r="B2" s="15" t="inlineStr">
        <is>
          <t>Loan Outstanding</t>
        </is>
      </c>
      <c r="C2" s="15" t="inlineStr">
        <is>
          <t>EMI Paid (Annual)</t>
        </is>
      </c>
      <c r="D2" s="15" t="inlineStr">
        <is>
          <t>Cumulative Paid</t>
        </is>
      </c>
      <c r="E2" s="15" t="inlineStr">
        <is>
          <t>Investment Value</t>
        </is>
      </c>
      <c r="F2" s="15" t="inlineStr">
        <is>
          <t>Net Worth</t>
        </is>
      </c>
    </row>
    <row r="3">
      <c r="A3" t="n">
        <v>1</v>
      </c>
      <c r="B3" s="4" t="n">
        <v>2179813.478477006</v>
      </c>
      <c r="C3" s="4" t="n">
        <v>555775.1332731157</v>
      </c>
      <c r="D3" s="4">
        <f>C3</f>
        <v/>
      </c>
      <c r="E3" s="4" t="n">
        <v>2800000</v>
      </c>
      <c r="F3" s="4">
        <f>E3-D3</f>
        <v/>
      </c>
    </row>
    <row r="4">
      <c r="A4" t="n">
        <v>2</v>
      </c>
      <c r="B4" s="4" t="n">
        <v>1826099.24413198</v>
      </c>
      <c r="C4" s="4" t="n">
        <v>555775.1332731157</v>
      </c>
      <c r="D4" s="4">
        <f>D3+C4</f>
        <v/>
      </c>
      <c r="E4" s="4" t="n">
        <v>3136000</v>
      </c>
      <c r="F4" s="4">
        <f>E4-D4</f>
        <v/>
      </c>
    </row>
    <row r="5">
      <c r="A5" t="n">
        <v>3</v>
      </c>
      <c r="B5" s="4" t="n">
        <v>1435346.507311037</v>
      </c>
      <c r="C5" s="4" t="n">
        <v>555775.1332731157</v>
      </c>
      <c r="D5" s="4">
        <f>D4+C5</f>
        <v/>
      </c>
      <c r="E5" s="4" t="n">
        <v>3512320.000000001</v>
      </c>
      <c r="F5" s="4">
        <f>E5-D5</f>
        <v/>
      </c>
    </row>
    <row r="6">
      <c r="A6" t="n">
        <v>4</v>
      </c>
      <c r="B6" s="4" t="n">
        <v>1003676.85280649</v>
      </c>
      <c r="C6" s="4" t="n">
        <v>555775.1332731157</v>
      </c>
      <c r="D6" s="4">
        <f>D5+C6</f>
        <v/>
      </c>
      <c r="E6" s="4" t="n">
        <v>3933798.400000001</v>
      </c>
      <c r="F6" s="4">
        <f>E6-D6</f>
        <v/>
      </c>
    </row>
    <row r="7">
      <c r="A7" t="n">
        <v>5</v>
      </c>
      <c r="B7" s="4" t="n">
        <v>526805.7446574481</v>
      </c>
      <c r="C7" s="4" t="n">
        <v>555775.1332731157</v>
      </c>
      <c r="D7" s="4">
        <f>D6+C7</f>
        <v/>
      </c>
      <c r="E7" s="4" t="n">
        <v>4405854.208000001</v>
      </c>
      <c r="F7" s="4">
        <f>E7-D7</f>
        <v/>
      </c>
    </row>
    <row r="8">
      <c r="A8" t="n">
        <v>6</v>
      </c>
      <c r="B8" s="4" t="n">
        <v>0</v>
      </c>
      <c r="C8" s="4" t="n">
        <v>555775.1332731157</v>
      </c>
      <c r="D8" s="4">
        <f>D7+C8</f>
        <v/>
      </c>
      <c r="E8" s="4" t="n">
        <v>4934556.712960003</v>
      </c>
      <c r="F8" s="4">
        <f>E8-D8</f>
        <v/>
      </c>
    </row>
    <row r="9">
      <c r="A9" t="n">
        <v>7</v>
      </c>
      <c r="B9" s="4" t="n">
        <v>0</v>
      </c>
      <c r="C9" s="4" t="n">
        <v>0</v>
      </c>
      <c r="D9" s="4">
        <f>D8</f>
        <v/>
      </c>
      <c r="E9" s="4" t="n">
        <v>5526703.518515203</v>
      </c>
      <c r="F9" s="4">
        <f>E9-D9</f>
        <v/>
      </c>
    </row>
    <row r="10">
      <c r="A10" t="n">
        <v>8</v>
      </c>
      <c r="B10" s="4" t="n">
        <v>0</v>
      </c>
      <c r="C10" s="4" t="n">
        <v>0</v>
      </c>
      <c r="D10" s="4">
        <f>D9</f>
        <v/>
      </c>
      <c r="E10" s="4" t="n">
        <v>6189907.940737029</v>
      </c>
      <c r="F10" s="4">
        <f>E10-D10</f>
        <v/>
      </c>
    </row>
    <row r="11">
      <c r="A11" t="n">
        <v>9</v>
      </c>
      <c r="B11" s="4" t="n">
        <v>0</v>
      </c>
      <c r="C11" s="4" t="n">
        <v>0</v>
      </c>
      <c r="D11" s="4">
        <f>D10</f>
        <v/>
      </c>
      <c r="E11" s="4" t="n">
        <v>6932696.893625473</v>
      </c>
      <c r="F11" s="4">
        <f>E11-D11</f>
        <v/>
      </c>
    </row>
    <row r="12">
      <c r="A12" t="n">
        <v>10</v>
      </c>
      <c r="B12" s="4" t="n">
        <v>0</v>
      </c>
      <c r="C12" s="4" t="n">
        <v>0</v>
      </c>
      <c r="D12" s="4">
        <f>D11</f>
        <v/>
      </c>
      <c r="E12" s="4" t="n">
        <v>7764620.52086053</v>
      </c>
      <c r="F12" s="4">
        <f>E12-D12</f>
        <v/>
      </c>
    </row>
    <row r="13">
      <c r="A13" t="n">
        <v>11</v>
      </c>
      <c r="B13" s="4" t="n">
        <v>0</v>
      </c>
      <c r="C13" s="4" t="n">
        <v>0</v>
      </c>
      <c r="D13" s="4">
        <f>D12</f>
        <v/>
      </c>
      <c r="E13" s="4" t="n">
        <v>8696374.983363794</v>
      </c>
      <c r="F13" s="4">
        <f>E13-D13</f>
        <v/>
      </c>
    </row>
    <row r="14">
      <c r="A14" t="n">
        <v>12</v>
      </c>
      <c r="B14" s="4" t="n">
        <v>0</v>
      </c>
      <c r="C14" s="4" t="n">
        <v>0</v>
      </c>
      <c r="D14" s="4">
        <f>D13</f>
        <v/>
      </c>
      <c r="E14" s="4" t="n">
        <v>9739939.981367452</v>
      </c>
      <c r="F14" s="4">
        <f>E14-D14</f>
        <v/>
      </c>
    </row>
    <row r="15">
      <c r="A15" t="n">
        <v>13</v>
      </c>
      <c r="B15" s="4" t="n">
        <v>0</v>
      </c>
      <c r="C15" s="4" t="n">
        <v>0</v>
      </c>
      <c r="D15" s="4">
        <f>D14</f>
        <v/>
      </c>
      <c r="E15" s="4" t="n">
        <v>10908732.77913155</v>
      </c>
      <c r="F15" s="4">
        <f>E15-D15</f>
        <v/>
      </c>
    </row>
    <row r="16">
      <c r="A16" t="n">
        <v>14</v>
      </c>
      <c r="B16" s="4" t="n">
        <v>0</v>
      </c>
      <c r="C16" s="4" t="n">
        <v>0</v>
      </c>
      <c r="D16" s="4">
        <f>D15</f>
        <v/>
      </c>
      <c r="E16" s="4" t="n">
        <v>12217780.71262733</v>
      </c>
      <c r="F16" s="4">
        <f>E16-D16</f>
        <v/>
      </c>
    </row>
    <row r="17">
      <c r="A17" t="n">
        <v>15</v>
      </c>
      <c r="B17" s="4" t="n">
        <v>0</v>
      </c>
      <c r="C17" s="4" t="n">
        <v>0</v>
      </c>
      <c r="D17" s="4">
        <f>D16</f>
        <v/>
      </c>
      <c r="E17" s="4" t="n">
        <v>13683914.39814261</v>
      </c>
      <c r="F17" s="4">
        <f>E17-D17</f>
        <v/>
      </c>
    </row>
    <row r="18">
      <c r="A18" t="n">
        <v>16</v>
      </c>
      <c r="B18" s="4" t="n">
        <v>0</v>
      </c>
      <c r="C18" s="4" t="n">
        <v>0</v>
      </c>
      <c r="D18" s="4">
        <f>D17</f>
        <v/>
      </c>
      <c r="E18" s="4" t="n">
        <v>15325984.12591973</v>
      </c>
      <c r="F18" s="4">
        <f>E18-D18</f>
        <v/>
      </c>
    </row>
    <row r="19">
      <c r="A19" t="n">
        <v>17</v>
      </c>
      <c r="B19" s="4" t="n">
        <v>0</v>
      </c>
      <c r="C19" s="4" t="n">
        <v>0</v>
      </c>
      <c r="D19" s="4">
        <f>D18</f>
        <v/>
      </c>
      <c r="E19" s="4" t="n">
        <v>17165102.2210301</v>
      </c>
      <c r="F19" s="4">
        <f>E19-D19</f>
        <v/>
      </c>
    </row>
    <row r="20">
      <c r="A20" t="n">
        <v>18</v>
      </c>
      <c r="B20" s="4" t="n">
        <v>0</v>
      </c>
      <c r="C20" s="4" t="n">
        <v>0</v>
      </c>
      <c r="D20" s="4">
        <f>D19</f>
        <v/>
      </c>
      <c r="E20" s="4" t="n">
        <v>19224914.48755371</v>
      </c>
      <c r="F20" s="4">
        <f>E20-D20</f>
        <v/>
      </c>
    </row>
    <row r="21">
      <c r="A21" t="n">
        <v>19</v>
      </c>
      <c r="B21" s="4" t="n">
        <v>0</v>
      </c>
      <c r="C21" s="4" t="n">
        <v>0</v>
      </c>
      <c r="D21" s="4">
        <f>D20</f>
        <v/>
      </c>
      <c r="E21" s="4" t="n">
        <v>21531904.22606016</v>
      </c>
      <c r="F21" s="4">
        <f>E21-D21</f>
        <v/>
      </c>
    </row>
    <row r="22">
      <c r="A22" t="n">
        <v>20</v>
      </c>
      <c r="B22" s="4" t="n">
        <v>0</v>
      </c>
      <c r="C22" s="4" t="n">
        <v>0</v>
      </c>
      <c r="D22" s="4">
        <f>D21</f>
        <v/>
      </c>
      <c r="E22" s="4" t="n">
        <v>24115732.73318738</v>
      </c>
      <c r="F22" s="4">
        <f>E22-D22</f>
        <v/>
      </c>
    </row>
    <row r="23">
      <c r="A23" t="n">
        <v>21</v>
      </c>
      <c r="B23" s="4" t="n">
        <v>0</v>
      </c>
      <c r="C23" s="4" t="n">
        <v>0</v>
      </c>
      <c r="D23" s="4">
        <f>D22</f>
        <v/>
      </c>
      <c r="E23" s="4" t="n">
        <v>27009620.66116987</v>
      </c>
      <c r="F23" s="4">
        <f>E23-D23</f>
        <v/>
      </c>
    </row>
    <row r="24">
      <c r="A24" t="n">
        <v>22</v>
      </c>
      <c r="B24" s="4" t="n">
        <v>0</v>
      </c>
      <c r="C24" s="4" t="n">
        <v>0</v>
      </c>
      <c r="D24" s="4">
        <f>D23</f>
        <v/>
      </c>
      <c r="E24" s="4" t="n">
        <v>30250775.14051026</v>
      </c>
      <c r="F24" s="4">
        <f>E24-D24</f>
        <v/>
      </c>
    </row>
    <row r="25">
      <c r="A25" t="n">
        <v>23</v>
      </c>
      <c r="B25" s="4" t="n">
        <v>0</v>
      </c>
      <c r="C25" s="4" t="n">
        <v>0</v>
      </c>
      <c r="D25" s="4">
        <f>D24</f>
        <v/>
      </c>
      <c r="E25" s="4" t="n">
        <v>33880868.15737149</v>
      </c>
      <c r="F25" s="4">
        <f>E25-D25</f>
        <v/>
      </c>
    </row>
    <row r="26">
      <c r="A26" t="n">
        <v>24</v>
      </c>
      <c r="B26" s="4" t="n">
        <v>0</v>
      </c>
      <c r="C26" s="4" t="n">
        <v>0</v>
      </c>
      <c r="D26" s="4">
        <f>D25</f>
        <v/>
      </c>
      <c r="E26" s="4" t="n">
        <v>37946572.33625607</v>
      </c>
      <c r="F26" s="4">
        <f>E26-D26</f>
        <v/>
      </c>
    </row>
    <row r="27">
      <c r="A27" t="n">
        <v>25</v>
      </c>
      <c r="B27" s="4" t="n">
        <v>0</v>
      </c>
      <c r="C27" s="4" t="n">
        <v>0</v>
      </c>
      <c r="D27" s="4">
        <f>D26</f>
        <v/>
      </c>
      <c r="E27" s="4" t="n">
        <v>42500161.0166068</v>
      </c>
      <c r="F27" s="4">
        <f>E27-D27</f>
        <v/>
      </c>
    </row>
    <row r="28">
      <c r="A28" t="n">
        <v>26</v>
      </c>
      <c r="B28" s="4" t="n">
        <v>0</v>
      </c>
      <c r="C28" s="4" t="n">
        <v>0</v>
      </c>
      <c r="D28" s="4">
        <f>D27</f>
        <v/>
      </c>
      <c r="E28" s="4" t="n">
        <v>47600180.33859962</v>
      </c>
      <c r="F28" s="4">
        <f>E28-D28</f>
        <v/>
      </c>
    </row>
    <row r="29">
      <c r="A29" t="n">
        <v>27</v>
      </c>
      <c r="B29" s="4" t="n">
        <v>0</v>
      </c>
      <c r="C29" s="4" t="n">
        <v>0</v>
      </c>
      <c r="D29" s="4">
        <f>D28</f>
        <v/>
      </c>
      <c r="E29" s="4" t="n">
        <v>53312201.97923159</v>
      </c>
      <c r="F29" s="4">
        <f>E29-D29</f>
        <v/>
      </c>
    </row>
    <row r="30">
      <c r="A30" t="n">
        <v>28</v>
      </c>
      <c r="B30" s="4" t="n">
        <v>0</v>
      </c>
      <c r="C30" s="4" t="n">
        <v>0</v>
      </c>
      <c r="D30" s="4">
        <f>D29</f>
        <v/>
      </c>
      <c r="E30" s="4" t="n">
        <v>59709666.21673939</v>
      </c>
      <c r="F30" s="4">
        <f>E30-D30</f>
        <v/>
      </c>
    </row>
    <row r="31">
      <c r="A31" t="n">
        <v>29</v>
      </c>
      <c r="B31" s="4" t="n">
        <v>0</v>
      </c>
      <c r="C31" s="4" t="n">
        <v>0</v>
      </c>
      <c r="D31" s="4">
        <f>D30</f>
        <v/>
      </c>
      <c r="E31" s="4" t="n">
        <v>66874826.16274812</v>
      </c>
      <c r="F31" s="4">
        <f>E31-D31</f>
        <v/>
      </c>
    </row>
    <row r="32">
      <c r="A32" t="n">
        <v>30</v>
      </c>
      <c r="B32" s="4" t="n">
        <v>0</v>
      </c>
      <c r="C32" s="4" t="n">
        <v>0</v>
      </c>
      <c r="D32" s="4">
        <f>D31</f>
        <v/>
      </c>
      <c r="E32" s="4" t="n">
        <v>74899805.30227789</v>
      </c>
      <c r="F32" s="4">
        <f>E32-D32</f>
        <v/>
      </c>
    </row>
    <row r="33">
      <c r="A33" t="n">
        <v>31</v>
      </c>
      <c r="B33" s="4" t="n">
        <v>0</v>
      </c>
      <c r="C33" s="4" t="n">
        <v>0</v>
      </c>
      <c r="D33" s="4">
        <f>D32</f>
        <v/>
      </c>
      <c r="E33" s="4" t="n">
        <v>83887781.93855126</v>
      </c>
      <c r="F33" s="4">
        <f>E33-D33</f>
        <v/>
      </c>
    </row>
    <row r="34">
      <c r="A34" t="n">
        <v>32</v>
      </c>
      <c r="B34" s="4" t="n">
        <v>0</v>
      </c>
      <c r="C34" s="4" t="n">
        <v>0</v>
      </c>
      <c r="D34" s="4">
        <f>D33</f>
        <v/>
      </c>
      <c r="E34" s="4" t="n">
        <v>93954315.77117741</v>
      </c>
      <c r="F34" s="4">
        <f>E34-D34</f>
        <v/>
      </c>
    </row>
    <row r="35">
      <c r="A35" t="n">
        <v>33</v>
      </c>
      <c r="B35" s="4" t="n">
        <v>0</v>
      </c>
      <c r="C35" s="4" t="n">
        <v>0</v>
      </c>
      <c r="D35" s="4">
        <f>D34</f>
        <v/>
      </c>
      <c r="E35" s="4" t="n">
        <v>105228833.6637187</v>
      </c>
      <c r="F35" s="4">
        <f>E35-D35</f>
        <v/>
      </c>
    </row>
    <row r="36">
      <c r="A36" t="n">
        <v>34</v>
      </c>
      <c r="B36" s="4" t="n">
        <v>0</v>
      </c>
      <c r="C36" s="4" t="n">
        <v>0</v>
      </c>
      <c r="D36" s="4">
        <f>D35</f>
        <v/>
      </c>
      <c r="E36" s="4" t="n">
        <v>117856293.703365</v>
      </c>
      <c r="F36" s="4">
        <f>E36-D36</f>
        <v/>
      </c>
    </row>
    <row r="37">
      <c r="A37" t="n">
        <v>35</v>
      </c>
      <c r="B37" s="4" t="n">
        <v>0</v>
      </c>
      <c r="C37" s="4" t="n">
        <v>0</v>
      </c>
      <c r="D37" s="4">
        <f>D36</f>
        <v/>
      </c>
      <c r="E37" s="4" t="n">
        <v>131999048.9477688</v>
      </c>
      <c r="F37" s="4">
        <f>E37-D37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0" t="inlineStr">
        <is>
          <t>FORMULAS AND CALCULATION METHODOLOGY</t>
        </is>
      </c>
    </row>
    <row r="3">
      <c r="A3" s="13" t="inlineStr">
        <is>
          <t>1. SIP FUTURE VALUE FORMULA</t>
        </is>
      </c>
    </row>
    <row r="4">
      <c r="A4" t="inlineStr">
        <is>
          <t>FV = PMT × [((1 + r)^n - 1) / r] × (1 + r)</t>
        </is>
      </c>
    </row>
    <row r="5">
      <c r="A5" t="inlineStr">
        <is>
          <t>Where:</t>
        </is>
      </c>
    </row>
    <row r="6">
      <c r="A6" t="inlineStr">
        <is>
          <t xml:space="preserve">  PMT = Monthly SIP amount (₹40,000)</t>
        </is>
      </c>
    </row>
    <row r="7">
      <c r="A7" t="inlineStr">
        <is>
          <t xml:space="preserve">  r = Monthly interest rate (12%/12 = 1%)</t>
        </is>
      </c>
    </row>
    <row r="8">
      <c r="A8" t="inlineStr">
        <is>
          <t xml:space="preserve">  n = Total number of months (35 years × 12 = 420 months)</t>
        </is>
      </c>
    </row>
    <row r="10">
      <c r="A10" s="13" t="inlineStr">
        <is>
          <t>2. LUMPSUM FUTURE VALUE FORMULA</t>
        </is>
      </c>
    </row>
    <row r="11">
      <c r="A11" t="inlineStr">
        <is>
          <t>FV = P × (1 + r)^n</t>
        </is>
      </c>
    </row>
    <row r="12">
      <c r="A12" t="inlineStr">
        <is>
          <t>Where:</t>
        </is>
      </c>
    </row>
    <row r="13">
      <c r="A13" t="inlineStr">
        <is>
          <t xml:space="preserve">  P = Principal amount (₹25,00,000)</t>
        </is>
      </c>
    </row>
    <row r="14">
      <c r="A14" t="inlineStr">
        <is>
          <t xml:space="preserve">  r = Annual interest rate (12%)</t>
        </is>
      </c>
    </row>
    <row r="15">
      <c r="A15" t="inlineStr">
        <is>
          <t xml:space="preserve">  n = Number of years (35 years)</t>
        </is>
      </c>
    </row>
    <row r="17">
      <c r="A17" s="13" t="inlineStr">
        <is>
          <t>3. EMI CALCULATION FORMULA</t>
        </is>
      </c>
    </row>
    <row r="18">
      <c r="A18" t="inlineStr">
        <is>
          <t>EMI = P × r × (1+r)^n / [(1+r)^n - 1]</t>
        </is>
      </c>
    </row>
    <row r="19">
      <c r="A19" t="inlineStr">
        <is>
          <t>Where:</t>
        </is>
      </c>
    </row>
    <row r="20">
      <c r="A20" t="inlineStr">
        <is>
          <t xml:space="preserve">  P = Loan principal (₹25,00,000)</t>
        </is>
      </c>
    </row>
    <row r="21">
      <c r="A21" t="inlineStr">
        <is>
          <t xml:space="preserve">  r = Monthly interest rate (10%/12 = 0.833%)</t>
        </is>
      </c>
    </row>
    <row r="22">
      <c r="A22" t="inlineStr">
        <is>
          <t xml:space="preserve">  n = Loan tenure in months (6 years × 12 = 72 months)</t>
        </is>
      </c>
    </row>
    <row r="24">
      <c r="A24" s="13" t="inlineStr">
        <is>
          <t>4. ASSUMPTIONS</t>
        </is>
      </c>
    </row>
    <row r="25">
      <c r="A25" t="inlineStr">
        <is>
          <t xml:space="preserve">  • SIP returns: 12% per annum (compounded monthly)</t>
        </is>
      </c>
    </row>
    <row r="26">
      <c r="A26" t="inlineStr">
        <is>
          <t xml:space="preserve">  • Lumpsum returns: 12% per annum (compounded annually)</t>
        </is>
      </c>
    </row>
    <row r="27">
      <c r="A27" t="inlineStr">
        <is>
          <t xml:space="preserve">  • Loan interest: 10% per annum</t>
        </is>
      </c>
    </row>
    <row r="28">
      <c r="A28" t="inlineStr">
        <is>
          <t xml:space="preserve">  • No tax implications considered</t>
        </is>
      </c>
    </row>
    <row r="29">
      <c r="A29" t="inlineStr">
        <is>
          <t xml:space="preserve">  • No inflation adjustments</t>
        </is>
      </c>
    </row>
    <row r="30">
      <c r="A30" t="inlineStr">
        <is>
          <t xml:space="preserve">  • Regular payments without defaults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2026-05-03T04:42:29Z</dcterms:created>
  <dcterms:modified xsi:type="dcterms:W3CDTF">2026-05-03T04:42:29Z</dcterms:modified>
</cp:coreProperties>
</file>